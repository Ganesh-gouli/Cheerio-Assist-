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Volume &amp; Resolution" sheetId="2" state="visible" r:id="rId2"/>
    <sheet xmlns:r="http://schemas.openxmlformats.org/officeDocument/2006/relationships" name="Running Cost" sheetId="3" state="visible" r:id="rId3"/>
    <sheet xmlns:r="http://schemas.openxmlformats.org/officeDocument/2006/relationships" name="Billing &amp; Margin" sheetId="4" state="visible" r:id="rId4"/>
    <sheet xmlns:r="http://schemas.openxmlformats.org/officeDocument/2006/relationships" name="Audit &amp; Sav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$#,##0.00000"/>
    <numFmt numFmtId="167" formatCode="$#,##0.000"/>
    <numFmt numFmtId="168" formatCode="0.0x"/>
  </numFmts>
  <fonts count="9">
    <font>
      <name val="Calibri"/>
      <family val="2"/>
      <color theme="1"/>
      <sz val="11"/>
      <scheme val="minor"/>
    </font>
    <font>
      <name val="Segoe UI"/>
      <b val="1"/>
      <color rgb="001E1B4B"/>
      <sz val="14"/>
    </font>
    <font>
      <name val="Segoe UI"/>
      <i val="1"/>
      <color rgb="00475569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b val="1"/>
      <color rgb="001E3A8A"/>
      <sz val="10"/>
    </font>
    <font>
      <name val="Segoe UI"/>
      <i val="1"/>
      <color rgb="0064748B"/>
      <sz val="9"/>
    </font>
    <font>
      <name val="Segoe UI"/>
      <color rgb="00334155"/>
      <sz val="10"/>
    </font>
    <font>
      <name val="Segoe UI"/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2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3" borderId="1" pivotButton="0" quotePrefix="0" xfId="0"/>
    <xf numFmtId="165" fontId="5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4" fillId="4" borderId="1" pivotButton="0" quotePrefix="0" xfId="0"/>
    <xf numFmtId="0" fontId="6" fillId="4" borderId="1" pivotButton="0" quotePrefix="0" xfId="0"/>
    <xf numFmtId="3" fontId="8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7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6" fillId="0" borderId="0" pivotButton="0" quotePrefix="0" xfId="0"/>
    <xf numFmtId="166" fontId="5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0" fontId="7" fillId="4" borderId="1" pivotButton="0" quotePrefix="0" xfId="0"/>
    <xf numFmtId="0" fontId="3" fillId="2" borderId="0" pivotButton="0" quotePrefix="0" xfId="0"/>
    <xf numFmtId="3" fontId="7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0" fontId="4" fillId="5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74" customWidth="1" min="1" max="1"/>
    <col width="12" customWidth="1" min="2" max="2"/>
    <col width="15" customWidth="1" min="3" max="3"/>
    <col width="30" customWidth="1" min="4" max="4"/>
    <col width="65" customWidth="1" min="5" max="5"/>
  </cols>
  <sheetData>
    <row r="1">
      <c r="A1" s="1" t="inlineStr">
        <is>
          <t>Cheerio Assist — Operational &amp; Financial Model Assumptions</t>
        </is>
      </c>
    </row>
    <row r="2">
      <c r="A2" s="2" t="inlineStr">
        <is>
          <t>Baseline assumptions for 5,000 active businesses scaling WhatsApp API support. Clearly marked as provisional.</t>
        </is>
      </c>
    </row>
    <row r="3"/>
    <row r="4">
      <c r="A4" s="3" t="inlineStr">
        <is>
          <t>Assumption Parameter</t>
        </is>
      </c>
      <c r="B4" s="4" t="inlineStr">
        <is>
          <t>Value</t>
        </is>
      </c>
      <c r="C4" s="3" t="inlineStr">
        <is>
          <t>Unit</t>
        </is>
      </c>
      <c r="D4" s="3" t="inlineStr">
        <is>
          <t>Type / Status</t>
        </is>
      </c>
      <c r="E4" s="3" t="inlineStr">
        <is>
          <t>Source / Rationale</t>
        </is>
      </c>
    </row>
    <row r="5">
      <c r="A5" s="5" t="inlineStr">
        <is>
          <t>Active Businesses Base</t>
        </is>
      </c>
      <c r="B5" s="6" t="n">
        <v>5000</v>
      </c>
      <c r="C5" s="7" t="inlineStr">
        <is>
          <t>Accounts</t>
        </is>
      </c>
      <c r="D5" s="8" t="inlineStr">
        <is>
          <t>Assignment Specification</t>
        </is>
      </c>
      <c r="E5" s="9" t="inlineStr">
        <is>
          <t>Provided in prompt context</t>
        </is>
      </c>
    </row>
    <row r="6">
      <c r="A6" s="10" t="inlineStr">
        <is>
          <t>Monthly Support Queries per Business</t>
        </is>
      </c>
      <c r="B6" s="11" t="n">
        <v>0.8</v>
      </c>
      <c r="C6" s="12" t="inlineStr">
        <is>
          <t>Queries/Biz</t>
        </is>
      </c>
      <c r="D6" s="10" t="inlineStr">
        <is>
          <t>Provisional Assumption</t>
        </is>
      </c>
      <c r="E6" s="13" t="inlineStr">
        <is>
          <t>Estimated based on B2B SaaS onboarding benchmarks</t>
        </is>
      </c>
    </row>
    <row r="7">
      <c r="A7" s="8" t="inlineStr">
        <is>
          <t>Share of Inbound Queries Eligible for Self-Service</t>
        </is>
      </c>
      <c r="B7" s="14" t="n">
        <v>0.7</v>
      </c>
      <c r="C7" s="7" t="inlineStr">
        <is>
          <t>0.0%</t>
        </is>
      </c>
      <c r="D7" s="8" t="inlineStr">
        <is>
          <t>Provisional Assumption</t>
        </is>
      </c>
      <c r="E7" s="9" t="inlineStr">
        <is>
          <t>Top 5 issues (WhatsApp, Templates, Flows, Integrations)</t>
        </is>
      </c>
    </row>
    <row r="8">
      <c r="A8" s="10" t="inlineStr">
        <is>
          <t>Target Resolution Rate on Eligible Queries</t>
        </is>
      </c>
      <c r="B8" s="15" t="n">
        <v>0.65</v>
      </c>
      <c r="C8" s="12" t="inlineStr">
        <is>
          <t>0.0%</t>
        </is>
      </c>
      <c r="D8" s="10" t="inlineStr">
        <is>
          <t>3-Month Provisional Target</t>
        </is>
      </c>
      <c r="E8" s="13" t="inlineStr">
        <is>
          <t>Expected autonomous resolution without human intervention</t>
        </is>
      </c>
    </row>
    <row r="9">
      <c r="A9" s="8" t="inlineStr">
        <is>
          <t>Average Input Tokens per AI Interaction</t>
        </is>
      </c>
      <c r="B9" s="6" t="n">
        <v>850</v>
      </c>
      <c r="C9" s="7" t="inlineStr">
        <is>
          <t>Tokens</t>
        </is>
      </c>
      <c r="D9" s="8" t="inlineStr">
        <is>
          <t>Engineering Estimate</t>
        </is>
      </c>
      <c r="E9" s="9" t="inlineStr">
        <is>
          <t>Includes system prompt, user query, and diagnostic history</t>
        </is>
      </c>
    </row>
    <row r="10">
      <c r="A10" s="10" t="inlineStr">
        <is>
          <t>Average Output Tokens per AI Interaction</t>
        </is>
      </c>
      <c r="B10" s="16" t="n">
        <v>350</v>
      </c>
      <c r="C10" s="12" t="inlineStr">
        <is>
          <t>Tokens</t>
        </is>
      </c>
      <c r="D10" s="10" t="inlineStr">
        <is>
          <t>Engineering Estimate</t>
        </is>
      </c>
      <c r="E10" s="13" t="inlineStr">
        <is>
          <t>Concise, plain-English guidance and step instructions</t>
        </is>
      </c>
    </row>
    <row r="11">
      <c r="A11" s="5" t="inlineStr">
        <is>
          <t>LLM Model Input Price per 1M Tokens ($)</t>
        </is>
      </c>
      <c r="B11" s="17" t="n">
        <v>0.15</v>
      </c>
      <c r="C11" s="7" t="inlineStr">
        <is>
          <t>$#,##0.00</t>
        </is>
      </c>
      <c r="D11" s="8" t="inlineStr">
        <is>
          <t>Verified Public Price</t>
        </is>
      </c>
      <c r="E11" s="9" t="inlineStr">
        <is>
          <t>OpenAI GPT-4o-mini ($0.15/1M input) / Gemini 1.5 Flash</t>
        </is>
      </c>
    </row>
    <row r="12">
      <c r="A12" s="18" t="inlineStr">
        <is>
          <t>LLM Model Output Price per 1M Tokens ($)</t>
        </is>
      </c>
      <c r="B12" s="19" t="n">
        <v>0.6</v>
      </c>
      <c r="C12" s="12" t="inlineStr">
        <is>
          <t>$#,##0.00</t>
        </is>
      </c>
      <c r="D12" s="10" t="inlineStr">
        <is>
          <t>Verified Public Price</t>
        </is>
      </c>
      <c r="E12" s="13" t="inlineStr">
        <is>
          <t>OpenAI GPT-4o-mini ($0.60/1M output) / Gemini 1.5 Flash</t>
        </is>
      </c>
    </row>
    <row r="13">
      <c r="A13" s="8" t="inlineStr">
        <is>
          <t>Cloud Infrastructure, Search &amp; Monitoring / Mo ($)</t>
        </is>
      </c>
      <c r="B13" s="17" t="n">
        <v>250</v>
      </c>
      <c r="C13" s="7" t="inlineStr">
        <is>
          <t>$#,##0.00</t>
        </is>
      </c>
      <c r="D13" s="8" t="inlineStr">
        <is>
          <t>Operational Estimate</t>
        </is>
      </c>
      <c r="E13" s="9" t="inlineStr">
        <is>
          <t>Vector indexing, logging, serverless hosting (Vercel/AWS)</t>
        </is>
      </c>
    </row>
    <row r="14">
      <c r="A14" s="10" t="inlineStr">
        <is>
          <t>Blended Human Support Cost per Ticket ($)</t>
        </is>
      </c>
      <c r="B14" s="19" t="n">
        <v>8.5</v>
      </c>
      <c r="C14" s="12" t="inlineStr">
        <is>
          <t>$#,##0.00</t>
        </is>
      </c>
      <c r="D14" s="10" t="inlineStr">
        <is>
          <t>Industry Benchmark</t>
        </is>
      </c>
      <c r="E14" s="13" t="inlineStr">
        <is>
          <t>Average cost of Tier 1/2 human support agent time (15-20 min)</t>
        </is>
      </c>
    </row>
    <row r="15">
      <c r="A15" s="5" t="inlineStr">
        <is>
          <t>Proposed Premium Add-on Price ($/mo)</t>
        </is>
      </c>
      <c r="B15" s="17" t="n">
        <v>19</v>
      </c>
      <c r="C15" s="7" t="inlineStr">
        <is>
          <t>$#,##0.00</t>
        </is>
      </c>
      <c r="D15" s="8" t="inlineStr">
        <is>
          <t>Proposed Pricing Model</t>
        </is>
      </c>
      <c r="E15" s="9" t="inlineStr">
        <is>
          <t>Optional 'Cheerio Assist Pro' tier with custom CRM syncing</t>
        </is>
      </c>
    </row>
    <row r="16">
      <c r="A16" s="10" t="inlineStr">
        <is>
          <t>Assumed Adoption Rate for Paid Add-on</t>
        </is>
      </c>
      <c r="B16" s="15" t="n">
        <v>0.15</v>
      </c>
      <c r="C16" s="12" t="inlineStr">
        <is>
          <t>0.0%</t>
        </is>
      </c>
      <c r="D16" s="10" t="inlineStr">
        <is>
          <t>Conservative Assumption</t>
        </is>
      </c>
      <c r="E16" s="13" t="inlineStr">
        <is>
          <t>15% adoption among 5,000 businesses (750 paying orgs)</t>
        </is>
      </c>
    </row>
    <row r="17"/>
    <row r="18">
      <c r="A18" s="2" t="inlineStr">
        <is>
          <t>Note: Model prices based on OpenAI GPT-4o-mini / Gemini 1.5 Flash official documentation (https://openai.com/api/pricing/). All other values are editable scenario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18" customWidth="1" min="4" max="4"/>
    <col width="79" customWidth="1" min="5" max="5"/>
  </cols>
  <sheetData>
    <row r="1">
      <c r="A1" s="1" t="inlineStr">
        <is>
          <t>Monthly Support Query Volume &amp; Resolution Funnel</t>
        </is>
      </c>
    </row>
    <row r="2">
      <c r="A2" s="2" t="inlineStr">
        <is>
          <t>Formulas strictly reference the Assumptions sheet. Distinguishes eligible queries from automated resolutions.</t>
        </is>
      </c>
    </row>
    <row r="3"/>
    <row r="4">
      <c r="A4" s="3" t="inlineStr">
        <is>
          <t>Funnel Metric</t>
        </is>
      </c>
      <c r="B4" s="3" t="inlineStr">
        <is>
          <t>Formula / Source</t>
        </is>
      </c>
      <c r="C4" s="4" t="inlineStr">
        <is>
          <t>Monthly Volume</t>
        </is>
      </c>
      <c r="D4" s="4" t="inlineStr">
        <is>
          <t>Share of Total</t>
        </is>
      </c>
      <c r="E4" s="3" t="inlineStr">
        <is>
          <t>Operational Definition &amp; Rationale</t>
        </is>
      </c>
    </row>
    <row r="5">
      <c r="A5" s="5" t="inlineStr">
        <is>
          <t>Total Monthly Inbound Support Queries</t>
        </is>
      </c>
      <c r="B5" s="9">
        <f>Assumptions!B5*Assumptions!B6</f>
        <v/>
      </c>
      <c r="C5" s="6">
        <f>Assumptions!B5*Assumptions!B6</f>
        <v/>
      </c>
      <c r="D5" s="20">
        <f>C5/C5</f>
        <v/>
      </c>
      <c r="E5" s="9" t="inlineStr">
        <is>
          <t>5,000 businesses * 0.8 queries/month</t>
        </is>
      </c>
    </row>
    <row r="6">
      <c r="A6" s="10" t="inlineStr">
        <is>
          <t>Queries Eligible for Self-Service Automation</t>
        </is>
      </c>
      <c r="B6" s="13">
        <f>C5*Assumptions!B7</f>
        <v/>
      </c>
      <c r="C6" s="16">
        <f>C5*Assumptions!B7</f>
        <v/>
      </c>
      <c r="D6" s="21">
        <f>C6/C$5</f>
        <v/>
      </c>
      <c r="E6" s="13" t="inlineStr">
        <is>
          <t>Issues covered by WhatsApp, Template, Bot, and Integration copilot</t>
        </is>
      </c>
    </row>
    <row r="7">
      <c r="A7" s="8" t="inlineStr">
        <is>
          <t>Ineligible Complex / Custom Queries</t>
        </is>
      </c>
      <c r="B7" s="9">
        <f>C5-C6</f>
        <v/>
      </c>
      <c r="C7" s="6">
        <f>C5-C6</f>
        <v/>
      </c>
      <c r="D7" s="20">
        <f>C7/C$5</f>
        <v/>
      </c>
      <c r="E7" s="9" t="inlineStr">
        <is>
          <t>Complex bugs, legal, or bespoke enterprise requests (Direct to Human)</t>
        </is>
      </c>
    </row>
    <row r="8">
      <c r="A8" s="22" t="inlineStr">
        <is>
          <t>Queries Successfully Resolved Autonomously</t>
        </is>
      </c>
      <c r="B8" s="23">
        <f>C6*Assumptions!B8</f>
        <v/>
      </c>
      <c r="C8" s="24">
        <f>C6*Assumptions!B8</f>
        <v/>
      </c>
      <c r="D8" s="25">
        <f>C8/C$5</f>
        <v/>
      </c>
      <c r="E8" s="23" t="inlineStr">
        <is>
          <t>Resolved via diagnostic checklist &amp; AI Copilot without agent ticket</t>
        </is>
      </c>
    </row>
    <row r="9">
      <c r="A9" s="8" t="inlineStr">
        <is>
          <t>Queries Escalated to Human Support (From Eligible)</t>
        </is>
      </c>
      <c r="B9" s="9">
        <f>C6-C8</f>
        <v/>
      </c>
      <c r="C9" s="6">
        <f>C6-C8</f>
        <v/>
      </c>
      <c r="D9" s="20">
        <f>C9/C$5</f>
        <v/>
      </c>
      <c r="E9" s="9" t="inlineStr">
        <is>
          <t>Failed troubleshooting, account-level locks, or explicit escalation</t>
        </is>
      </c>
    </row>
    <row r="10">
      <c r="A10" s="18" t="inlineStr">
        <is>
          <t>Total Residual Queries Handled by Humans</t>
        </is>
      </c>
      <c r="B10" s="13">
        <f>C7+C9</f>
        <v/>
      </c>
      <c r="C10" s="16">
        <f>C7+C9</f>
        <v/>
      </c>
      <c r="D10" s="21">
        <f>C10/C$5</f>
        <v/>
      </c>
      <c r="E10" s="13" t="inlineStr">
        <is>
          <t>Sum of ineligible inbound queries + escalated eligible queries</t>
        </is>
      </c>
    </row>
    <row r="11"/>
    <row r="12">
      <c r="A12" s="26" t="inlineStr">
        <is>
          <t>Key Performance Rates:</t>
        </is>
      </c>
    </row>
    <row r="13">
      <c r="A13" s="27" t="inlineStr">
        <is>
          <t>Overall Autonomous Resolution Rate (% of All Inbound)</t>
        </is>
      </c>
      <c r="C13" s="28">
        <f>C8/C5</f>
        <v/>
      </c>
      <c r="E13" s="29" t="inlineStr">
        <is>
          <t>1,820 resolved / 4,000 total inbound = 45.5% net support workload automated</t>
        </is>
      </c>
    </row>
    <row r="14">
      <c r="A14" s="27" t="inlineStr">
        <is>
          <t>Effective Self-Service Resolution Rate (% of Eligible)</t>
        </is>
      </c>
      <c r="C14" s="28">
        <f>C8/C6</f>
        <v/>
      </c>
      <c r="E14" s="29" t="inlineStr">
        <is>
          <t>1,820 resolved / 2,800 eligible = 65.0% success rate on eligible workflows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33" customWidth="1" min="4" max="4"/>
    <col width="74" customWidth="1" min="5" max="5"/>
  </cols>
  <sheetData>
    <row r="1">
      <c r="A1" s="1" t="inlineStr">
        <is>
          <t>Cheerio Assist — Recurring Monthly Operating Cost Model</t>
        </is>
      </c>
    </row>
    <row r="2">
      <c r="A2" s="2" t="inlineStr">
        <is>
          <t>Calculates token consumption, API spend, infrastructure, and blended per-resolution economics.</t>
        </is>
      </c>
    </row>
    <row r="3"/>
    <row r="4">
      <c r="A4" s="3" t="inlineStr">
        <is>
          <t>Cost Component</t>
        </is>
      </c>
      <c r="B4" s="3" t="inlineStr">
        <is>
          <t>Formula / Derivation</t>
        </is>
      </c>
      <c r="C4" s="4" t="inlineStr">
        <is>
          <t>Unit Cost</t>
        </is>
      </c>
      <c r="D4" s="4" t="inlineStr">
        <is>
          <t>Monthly Total ($)</t>
        </is>
      </c>
      <c r="E4" s="3" t="inlineStr">
        <is>
          <t>Cost Modeling Notes</t>
        </is>
      </c>
    </row>
    <row r="5">
      <c r="A5" s="8" t="inlineStr">
        <is>
          <t>Input Token Cost per AI Interaction</t>
        </is>
      </c>
      <c r="B5" s="9">
        <f>(Assumptions!B9/1000000)*Assumptions!B11</f>
        <v/>
      </c>
      <c r="C5" s="30">
        <f>(Assumptions!B9/1000000)*Assumptions!B11</f>
        <v/>
      </c>
      <c r="D5" s="31">
        <f>C5*'Volume &amp; Resolution'!C6</f>
        <v/>
      </c>
      <c r="E5" s="9" t="inlineStr">
        <is>
          <t>850 tokens * $0.15/1M tokens = $0.0001275 per interaction</t>
        </is>
      </c>
    </row>
    <row r="6">
      <c r="A6" s="10" t="inlineStr">
        <is>
          <t>Output Token Cost per AI Interaction</t>
        </is>
      </c>
      <c r="B6" s="13">
        <f>(Assumptions!B10/1000000)*Assumptions!B12</f>
        <v/>
      </c>
      <c r="C6" s="32">
        <f>(Assumptions!B10/1000000)*Assumptions!B12</f>
        <v/>
      </c>
      <c r="D6" s="33">
        <f>C6*'Volume &amp; Resolution'!C6</f>
        <v/>
      </c>
      <c r="E6" s="13" t="inlineStr">
        <is>
          <t>350 tokens * $0.60/1M tokens = $0.0002100 per interaction</t>
        </is>
      </c>
    </row>
    <row r="7">
      <c r="A7" s="8" t="inlineStr">
        <is>
          <t>Total AI Model Cost per Interaction</t>
        </is>
      </c>
      <c r="B7" s="9">
        <f>C5+C6</f>
        <v/>
      </c>
      <c r="C7" s="30">
        <f>C5+C6</f>
        <v/>
      </c>
      <c r="D7" s="31">
        <f>D5+D6</f>
        <v/>
      </c>
      <c r="E7" s="9" t="inlineStr">
        <is>
          <t>Blended token cost per interaction = $0.0003375</t>
        </is>
      </c>
    </row>
    <row r="8">
      <c r="A8" s="10" t="inlineStr">
        <is>
          <t>Total Monthly AI Model Inference Cost</t>
        </is>
      </c>
      <c r="B8" s="13">
        <f>D7</f>
        <v/>
      </c>
      <c r="C8" s="19" t="inlineStr"/>
      <c r="D8" s="33">
        <f>D7</f>
        <v/>
      </c>
      <c r="E8" s="13" t="inlineStr">
        <is>
          <t>Inference across 2,800 eligible customer sessions</t>
        </is>
      </c>
    </row>
    <row r="9">
      <c r="A9" s="8" t="inlineStr">
        <is>
          <t>Platform Infrastructure, Search &amp; Logging</t>
        </is>
      </c>
      <c r="B9" s="9">
        <f>Assumptions!B13</f>
        <v/>
      </c>
      <c r="C9" s="17" t="inlineStr"/>
      <c r="D9" s="31">
        <f>Assumptions!B13</f>
        <v/>
      </c>
      <c r="E9" s="9" t="inlineStr">
        <is>
          <t>Vercel / AWS serverless, Vector search cache, monitoring</t>
        </is>
      </c>
    </row>
    <row r="10">
      <c r="A10" s="22" t="inlineStr">
        <is>
          <t>Total Monthly Solution Operating Cost</t>
        </is>
      </c>
      <c r="B10" s="23">
        <f>D8+D9</f>
        <v/>
      </c>
      <c r="C10" s="34" t="inlineStr"/>
      <c r="D10" s="35">
        <f>D8+D9</f>
        <v/>
      </c>
      <c r="E10" s="23" t="inlineStr">
        <is>
          <t>Sum of monthly AI token inference + fixed cloud infrastructure</t>
        </is>
      </c>
    </row>
    <row r="11">
      <c r="A11" s="8" t="inlineStr">
        <is>
          <t>Average Cost per Incoming Support Query</t>
        </is>
      </c>
      <c r="B11" s="9">
        <f>D10/'Volume &amp; Resolution'!C5</f>
        <v/>
      </c>
      <c r="C11" s="36" t="inlineStr"/>
      <c r="D11" s="37">
        <f>D10/'Volume &amp; Resolution'!C5</f>
        <v/>
      </c>
      <c r="E11" s="9" t="inlineStr">
        <is>
          <t>Total operating cost / 4,000 incoming support queries</t>
        </is>
      </c>
    </row>
    <row r="12">
      <c r="A12" s="22" t="inlineStr">
        <is>
          <t>Cost per Successfully Automated Resolution</t>
        </is>
      </c>
      <c r="B12" s="23">
        <f>D10/'Volume &amp; Resolution'!C8</f>
        <v/>
      </c>
      <c r="C12" s="38" t="inlineStr"/>
      <c r="D12" s="39">
        <f>D10/'Volume &amp; Resolution'!C8</f>
        <v/>
      </c>
      <c r="E12" s="23" t="inlineStr">
        <is>
          <t>Total operating cost / 1,820 resolved queries ($0.138 per resolution!)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6" customWidth="1" min="2" max="2"/>
    <col width="63" customWidth="1" min="3" max="3"/>
    <col width="61" customWidth="1" min="4" max="4"/>
    <col width="69" customWidth="1" min="5" max="5"/>
  </cols>
  <sheetData>
    <row r="1">
      <c r="A1" s="1" t="inlineStr">
        <is>
          <t>Cheerio Assist — Monetization Strategy &amp; Margin Comparison</t>
        </is>
      </c>
    </row>
    <row r="2">
      <c r="A2" s="2" t="inlineStr">
        <is>
          <t>Evaluates Free Core Feature vs Usage Credits vs Paid Add-on. Recommends hybrid approach.</t>
        </is>
      </c>
    </row>
    <row r="3"/>
    <row r="4">
      <c r="A4" s="3" t="inlineStr">
        <is>
          <t>Commercial Model</t>
        </is>
      </c>
      <c r="B4" s="3" t="inlineStr">
        <is>
          <t>Proposed Price</t>
        </is>
      </c>
      <c r="C4" s="3" t="inlineStr">
        <is>
          <t>User Adoption Friction</t>
        </is>
      </c>
      <c r="D4" s="3" t="inlineStr">
        <is>
          <t>Primary Strategic Value</t>
        </is>
      </c>
      <c r="E4" s="3" t="inlineStr">
        <is>
          <t>Product Recommendation</t>
        </is>
      </c>
    </row>
    <row r="5">
      <c r="A5" s="22" t="inlineStr">
        <is>
          <t>1. Free Self-Service (Core Included)</t>
        </is>
      </c>
      <c r="B5" s="40" t="inlineStr">
        <is>
          <t>$0.00 / mo</t>
        </is>
      </c>
      <c r="C5" s="40" t="inlineStr">
        <is>
          <t>Zero Friction (100% Onboarding Access)</t>
        </is>
      </c>
      <c r="D5" s="40" t="inlineStr">
        <is>
          <t>Prevents early churn, boosts WhatsApp onboarding velocity</t>
        </is>
      </c>
      <c r="E5" s="22" t="inlineStr">
        <is>
          <t>RECOMMENDED FOR CORE: Free for standard setup diagnostics</t>
        </is>
      </c>
    </row>
    <row r="6">
      <c r="A6" s="18" t="inlineStr">
        <is>
          <t>2. Usage-Based Resolution Credits</t>
        </is>
      </c>
      <c r="B6" s="10" t="inlineStr">
        <is>
          <t>$0.50 / resolved query</t>
        </is>
      </c>
      <c r="C6" s="10" t="inlineStr">
        <is>
          <t>High Friction (Unpredictable bills for non-technical users)</t>
        </is>
      </c>
      <c r="D6" s="10" t="inlineStr">
        <is>
          <t>Direct cost recovery but penalizes users who need help</t>
        </is>
      </c>
      <c r="E6" s="18" t="inlineStr">
        <is>
          <t>NOT RECOMMENDED: Punishes confused non-technical users</t>
        </is>
      </c>
    </row>
    <row r="7">
      <c r="A7" s="22" t="inlineStr">
        <is>
          <t>3. Paid Plan Add-on (Cheerio Assist Pro)</t>
        </is>
      </c>
      <c r="B7" s="40" t="inlineStr">
        <is>
          <t>$19.00 / mo / business</t>
        </is>
      </c>
      <c r="C7" s="40" t="inlineStr">
        <is>
          <t>Low Friction for growing businesses needing custom flows</t>
        </is>
      </c>
      <c r="D7" s="40" t="inlineStr">
        <is>
          <t>Generates high-margin recurring SaaS ARR ($14.2K/mo)</t>
        </is>
      </c>
      <c r="E7" s="22" t="inlineStr">
        <is>
          <t>RECOMMENDED FOR PRO: Paid add-on for custom CRM &amp; priority SLA</t>
        </is>
      </c>
    </row>
    <row r="8"/>
    <row r="9">
      <c r="A9" s="26" t="inlineStr">
        <is>
          <t>Financial P&amp;L for Option 3: 'Cheerio Assist Pro' Add-On Tier</t>
        </is>
      </c>
    </row>
    <row r="10">
      <c r="A10" s="41" t="inlineStr">
        <is>
          <t>Parameter</t>
        </is>
      </c>
      <c r="B10" s="41" t="inlineStr">
        <is>
          <t>Formula / Value</t>
        </is>
      </c>
      <c r="C10" s="41" t="inlineStr">
        <is>
          <t>Monthly Amount</t>
        </is>
      </c>
      <c r="D10" s="41" t="inlineStr">
        <is>
          <t>Unit</t>
        </is>
      </c>
      <c r="E10" s="41" t="inlineStr">
        <is>
          <t>Analytical Rationale</t>
        </is>
      </c>
    </row>
    <row r="11">
      <c r="A11" s="8" t="inlineStr">
        <is>
          <t>Total Addressable Active Businesses</t>
        </is>
      </c>
      <c r="B11" s="9">
        <f>Assumptions!B5</f>
        <v/>
      </c>
      <c r="C11" s="42">
        <f>Assumptions!B5</f>
        <v/>
      </c>
      <c r="D11" s="7" t="inlineStr">
        <is>
          <t>#,##0</t>
        </is>
      </c>
      <c r="E11" s="9" t="inlineStr">
        <is>
          <t>Total customer base in Cheerio workspace</t>
        </is>
      </c>
    </row>
    <row r="12">
      <c r="A12" s="10" t="inlineStr">
        <is>
          <t>Paid Pro Add-on Adoption Rate</t>
        </is>
      </c>
      <c r="B12" s="13">
        <f>Assumptions!B16</f>
        <v/>
      </c>
      <c r="C12" s="21">
        <f>Assumptions!B16</f>
        <v/>
      </c>
      <c r="D12" s="12" t="inlineStr">
        <is>
          <t>0.0%</t>
        </is>
      </c>
      <c r="E12" s="13" t="inlineStr">
        <is>
          <t>Conservative 15% adoption rate (does not assume 100%)</t>
        </is>
      </c>
    </row>
    <row r="13">
      <c r="A13" s="8" t="inlineStr">
        <is>
          <t>Paying Business Accounts</t>
        </is>
      </c>
      <c r="B13" s="9">
        <f>C11*C12</f>
        <v/>
      </c>
      <c r="C13" s="42">
        <f>C11*C12</f>
        <v/>
      </c>
      <c r="D13" s="7" t="inlineStr">
        <is>
          <t>#,##0</t>
        </is>
      </c>
      <c r="E13" s="9" t="inlineStr">
        <is>
          <t>750 businesses paying for enhanced Assist Pro workflows</t>
        </is>
      </c>
    </row>
    <row r="14">
      <c r="A14" s="10" t="inlineStr">
        <is>
          <t>Monthly Add-on Subscription Price</t>
        </is>
      </c>
      <c r="B14" s="13">
        <f>Assumptions!B15</f>
        <v/>
      </c>
      <c r="C14" s="33">
        <f>Assumptions!B15</f>
        <v/>
      </c>
      <c r="D14" s="12" t="inlineStr">
        <is>
          <t>$#,##0.00</t>
        </is>
      </c>
      <c r="E14" s="13" t="inlineStr">
        <is>
          <t>Proposed $19.00/month flat fee per account</t>
        </is>
      </c>
    </row>
    <row r="15">
      <c r="A15" s="5" t="inlineStr">
        <is>
          <t>Gross Monthly Subscription Revenue</t>
        </is>
      </c>
      <c r="B15" s="9">
        <f>C13*C14</f>
        <v/>
      </c>
      <c r="C15" s="43">
        <f>C13*C14</f>
        <v/>
      </c>
      <c r="D15" s="7" t="inlineStr">
        <is>
          <t>$#,##0.00</t>
        </is>
      </c>
      <c r="E15" s="9" t="inlineStr">
        <is>
          <t>750 accounts * $19.00/month = $14,250.00 ARR driver</t>
        </is>
      </c>
    </row>
    <row r="16">
      <c r="A16" s="10" t="inlineStr">
        <is>
          <t>Allocated Solution Operating Cost (AI + Infra)</t>
        </is>
      </c>
      <c r="B16" s="13">
        <f>'Running Cost'!D10</f>
        <v/>
      </c>
      <c r="C16" s="33">
        <f>'Running Cost'!D10</f>
        <v/>
      </c>
      <c r="D16" s="12" t="inlineStr">
        <is>
          <t>$#,##0.00</t>
        </is>
      </c>
      <c r="E16" s="13" t="inlineStr">
        <is>
          <t>Total operating cost of Cheerio Assist (~$250.95/month)</t>
        </is>
      </c>
    </row>
    <row r="17">
      <c r="A17" s="22" t="inlineStr">
        <is>
          <t>Monthly Gross Profit</t>
        </is>
      </c>
      <c r="B17" s="23">
        <f>C15-C16</f>
        <v/>
      </c>
      <c r="C17" s="35">
        <f>C15-C16</f>
        <v/>
      </c>
      <c r="D17" s="44" t="inlineStr">
        <is>
          <t>$#,##0.00</t>
        </is>
      </c>
      <c r="E17" s="23" t="inlineStr">
        <is>
          <t>Monthly net contribution margin from Cheerio Assist Pro</t>
        </is>
      </c>
    </row>
    <row r="18">
      <c r="A18" s="18" t="inlineStr">
        <is>
          <t>Gross Margin Percentage</t>
        </is>
      </c>
      <c r="B18" s="13">
        <f>C17/C15</f>
        <v/>
      </c>
      <c r="C18" s="45">
        <f>C17/C15</f>
        <v/>
      </c>
      <c r="D18" s="12" t="inlineStr">
        <is>
          <t>0.0%</t>
        </is>
      </c>
      <c r="E18" s="13" t="inlineStr">
        <is>
          <t>Exceptional 98.2% gross margin due to ultra-efficient LLM tokens</t>
        </is>
      </c>
    </row>
    <row r="19">
      <c r="A19" s="5" t="inlineStr">
        <is>
          <t>Break-Even Paying Business Accounts</t>
        </is>
      </c>
      <c r="B19" s="9">
        <f>C16/C14</f>
        <v/>
      </c>
      <c r="C19" s="46">
        <f>C16/C14</f>
        <v/>
      </c>
      <c r="D19" s="7" t="inlineStr">
        <is>
          <t>#,##0</t>
        </is>
      </c>
      <c r="E19" s="9" t="inlineStr">
        <is>
          <t>Only 14 paying businesses needed to cover entire AI &amp; infra cost!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46" customWidth="1" min="2" max="2"/>
    <col width="61" customWidth="1" min="3" max="3"/>
    <col width="63" customWidth="1" min="4" max="4"/>
    <col width="76" customWidth="1" min="5" max="5"/>
  </cols>
  <sheetData>
    <row r="1">
      <c r="A1" s="1" t="inlineStr">
        <is>
          <t>Cheerio Assist — Human Support Cost Savings &amp; Governance Audit</t>
        </is>
      </c>
    </row>
    <row r="2">
      <c r="A2" s="2" t="inlineStr">
        <is>
          <t>Quantifies net operational savings vs manual human support and defines 8 monthly audit thresholds.</t>
        </is>
      </c>
    </row>
    <row r="3"/>
    <row r="4">
      <c r="A4" s="3" t="inlineStr">
        <is>
          <t>Financial Metric</t>
        </is>
      </c>
      <c r="B4" s="3" t="inlineStr">
        <is>
          <t>Formula / Source</t>
        </is>
      </c>
      <c r="C4" s="4" t="inlineStr">
        <is>
          <t>Monthly Figure ($)</t>
        </is>
      </c>
      <c r="D4" s="4" t="inlineStr">
        <is>
          <t>Annualized ($)</t>
        </is>
      </c>
      <c r="E4" s="3" t="inlineStr">
        <is>
          <t>Strategic Impact Summary</t>
        </is>
      </c>
    </row>
    <row r="5">
      <c r="A5" s="8" t="inlineStr">
        <is>
          <t>Human Support Cost Without Solution (Status Quo)</t>
        </is>
      </c>
      <c r="B5" s="9">
        <f>'Volume &amp; Resolution'!C5*Assumptions!B14</f>
        <v/>
      </c>
      <c r="C5" s="31">
        <f>'Volume &amp; Resolution'!C5*Assumptions!B14</f>
        <v/>
      </c>
      <c r="D5" s="31">
        <f>C5*12</f>
        <v/>
      </c>
      <c r="E5" s="9" t="inlineStr">
        <is>
          <t>4,000 inbound queries * $8.50/human ticket = $34,000/mo spend</t>
        </is>
      </c>
    </row>
    <row r="6">
      <c r="A6" s="10" t="inlineStr">
        <is>
          <t>Residual Human Support Cost With Cheerio Assist</t>
        </is>
      </c>
      <c r="B6" s="13">
        <f>'Volume &amp; Resolution'!C10*Assumptions!B14</f>
        <v/>
      </c>
      <c r="C6" s="33">
        <f>'Volume &amp; Resolution'!C10*Assumptions!B14</f>
        <v/>
      </c>
      <c r="D6" s="33">
        <f>C6*12</f>
        <v/>
      </c>
      <c r="E6" s="13" t="inlineStr">
        <is>
          <t>2,180 escalated/ineligible queries * $8.50/ticket = $18,530/mo spend</t>
        </is>
      </c>
    </row>
    <row r="7">
      <c r="A7" s="8" t="inlineStr">
        <is>
          <t>Gross Monthly Human Labor Savings</t>
        </is>
      </c>
      <c r="B7" s="9">
        <f>C5-C6</f>
        <v/>
      </c>
      <c r="C7" s="31">
        <f>C5-C6</f>
        <v/>
      </c>
      <c r="D7" s="31">
        <f>C7*12</f>
        <v/>
      </c>
      <c r="E7" s="9" t="inlineStr">
        <is>
          <t>1,820 tickets eliminated from human queues = $15,470/mo saved</t>
        </is>
      </c>
    </row>
    <row r="8">
      <c r="A8" s="10" t="inlineStr">
        <is>
          <t>Total Operating Cost of Cheerio Assist</t>
        </is>
      </c>
      <c r="B8" s="13">
        <f>'Running Cost'!D10</f>
        <v/>
      </c>
      <c r="C8" s="33">
        <f>'Running Cost'!D10</f>
        <v/>
      </c>
      <c r="D8" s="33">
        <f>C8*12</f>
        <v/>
      </c>
      <c r="E8" s="13" t="inlineStr">
        <is>
          <t>AI tokens + cloud infrastructure = $250.95/mo</t>
        </is>
      </c>
    </row>
    <row r="9">
      <c r="A9" s="22" t="inlineStr">
        <is>
          <t>Net Monthly Support Cost Savings</t>
        </is>
      </c>
      <c r="B9" s="23">
        <f>C7-C8</f>
        <v/>
      </c>
      <c r="C9" s="35">
        <f>C7-C8</f>
        <v/>
      </c>
      <c r="D9" s="35">
        <f>C9*12</f>
        <v/>
      </c>
      <c r="E9" s="23" t="inlineStr">
        <is>
          <t>Gross Labor Savings minus Solution Cost = $15,219.05/mo Net!</t>
        </is>
      </c>
    </row>
    <row r="10">
      <c r="A10" s="22" t="inlineStr">
        <is>
          <t>Percentage Cost Reduction on Inbound Support</t>
        </is>
      </c>
      <c r="B10" s="23">
        <f>C9/C5</f>
        <v/>
      </c>
      <c r="C10" s="47">
        <f>C9/C5</f>
        <v/>
      </c>
      <c r="D10" s="48" t="inlineStr">
        <is>
          <t>N/A</t>
        </is>
      </c>
      <c r="E10" s="23" t="inlineStr">
        <is>
          <t>Net 44.8% reduction in total customer support operating expenditure</t>
        </is>
      </c>
    </row>
    <row r="11">
      <c r="A11" s="22" t="inlineStr">
        <is>
          <t>ROI Multiple on AI Investment</t>
        </is>
      </c>
      <c r="B11" s="23">
        <f>C7/C8</f>
        <v/>
      </c>
      <c r="C11" s="49">
        <f>C7/C8</f>
        <v/>
      </c>
      <c r="D11" s="48" t="inlineStr">
        <is>
          <t>N/A</t>
        </is>
      </c>
      <c r="E11" s="23" t="inlineStr">
        <is>
          <t>Every $1.00 spent on Cheerio Assist saves $61.64 in human support labor!</t>
        </is>
      </c>
    </row>
    <row r="12"/>
    <row r="13">
      <c r="A13" s="26" t="inlineStr">
        <is>
          <t>Monthly Engineering, Billing &amp; Safety Audit Controls</t>
        </is>
      </c>
    </row>
    <row r="14">
      <c r="A14" s="3" t="inlineStr">
        <is>
          <t>Audit Check</t>
        </is>
      </c>
      <c r="B14" s="3" t="inlineStr">
        <is>
          <t>Target Cadence</t>
        </is>
      </c>
      <c r="C14" s="3" t="inlineStr">
        <is>
          <t>Recommended Alert Threshold</t>
        </is>
      </c>
      <c r="D14" s="3" t="inlineStr">
        <is>
          <t>Remediation Action if Triggered</t>
        </is>
      </c>
      <c r="E14" s="3" t="inlineStr">
        <is>
          <t>Owner</t>
        </is>
      </c>
    </row>
    <row r="15">
      <c r="A15" s="18" t="inlineStr">
        <is>
          <t>1. AI Usage vs. Billed Customer Usage</t>
        </is>
      </c>
      <c r="B15" s="10" t="inlineStr">
        <is>
          <t>Monthly</t>
        </is>
      </c>
      <c r="C15" s="10" t="inlineStr">
        <is>
          <t>Variance &gt; 5.0% between provider logs and internal counts</t>
        </is>
      </c>
      <c r="D15" s="10" t="inlineStr">
        <is>
          <t>Reconcile token telemetry; inspect gateway dropouts</t>
        </is>
      </c>
      <c r="E15" s="10" t="inlineStr">
        <is>
          <t>Product Analyst</t>
        </is>
      </c>
    </row>
    <row r="16">
      <c r="A16" s="50" t="inlineStr">
        <is>
          <t>2. Token Consumption &amp; Provider Invoices</t>
        </is>
      </c>
      <c r="B16" s="51" t="inlineStr">
        <is>
          <t>Monthly / Weekly</t>
        </is>
      </c>
      <c r="C16" s="51" t="inlineStr">
        <is>
          <t>MoM token growth &gt; 25% without corresponding user growth</t>
        </is>
      </c>
      <c r="D16" s="51" t="inlineStr">
        <is>
          <t>Audit prompt token bloat; prune vector context chunk size</t>
        </is>
      </c>
      <c r="E16" s="51" t="inlineStr">
        <is>
          <t>AI Engineer</t>
        </is>
      </c>
    </row>
    <row r="17">
      <c r="A17" s="18" t="inlineStr">
        <is>
          <t>3. Duplicate Usage Records / Loop Trap</t>
        </is>
      </c>
      <c r="B17" s="10" t="inlineStr">
        <is>
          <t>Daily Automated</t>
        </is>
      </c>
      <c r="C17" s="10" t="inlineStr">
        <is>
          <t>&gt; 4 identical diagnostic queries from same user in 1 hour</t>
        </is>
      </c>
      <c r="D17" s="10" t="inlineStr">
        <is>
          <t>Break recursive loop; auto-escalate with pre-filled case</t>
        </is>
      </c>
      <c r="E17" s="10" t="inlineStr">
        <is>
          <t>AI Engineer</t>
        </is>
      </c>
    </row>
    <row r="18">
      <c r="A18" s="50" t="inlineStr">
        <is>
          <t>4. Failed or Repeated API Requests</t>
        </is>
      </c>
      <c r="B18" s="51" t="inlineStr">
        <is>
          <t>Real-Time / Daily</t>
        </is>
      </c>
      <c r="C18" s="51" t="inlineStr">
        <is>
          <t>Client retry failure rate &gt; 8.0%</t>
        </is>
      </c>
      <c r="D18" s="51" t="inlineStr">
        <is>
          <t>Check Meta Cloud API webhook latency &amp; status page</t>
        </is>
      </c>
      <c r="E18" s="51" t="inlineStr">
        <is>
          <t>DevOps / Support Eng</t>
        </is>
      </c>
    </row>
    <row r="19">
      <c r="A19" s="18" t="inlineStr">
        <is>
          <t>5. Unusual Cost per Resolution Spike</t>
        </is>
      </c>
      <c r="B19" s="10" t="inlineStr">
        <is>
          <t>Weekly</t>
        </is>
      </c>
      <c r="C19" s="10" t="inlineStr">
        <is>
          <t>Cost per automated resolution &gt; $0.05</t>
        </is>
      </c>
      <c r="D19" s="10" t="inlineStr">
        <is>
          <t>Inspect model fallback routing; ensure mini-tier routing</t>
        </is>
      </c>
      <c r="E19" s="10" t="inlineStr">
        <is>
          <t>AI Engineer</t>
        </is>
      </c>
    </row>
    <row r="20">
      <c r="A20" s="50" t="inlineStr">
        <is>
          <t>6. Escalation Rate Drift</t>
        </is>
      </c>
      <c r="B20" s="51" t="inlineStr">
        <is>
          <t>Weekly</t>
        </is>
      </c>
      <c r="C20" s="51" t="inlineStr">
        <is>
          <t>Escalation rate on eligible queries &gt; 45.0%</t>
        </is>
      </c>
      <c r="D20" s="51" t="inlineStr">
        <is>
          <t>Review failed diagnostic paths; update decision tree rules</t>
        </is>
      </c>
      <c r="E20" s="51" t="inlineStr">
        <is>
          <t>Product Manager</t>
        </is>
      </c>
    </row>
    <row r="21">
      <c r="A21" s="18" t="inlineStr">
        <is>
          <t>7. Revenue &amp; Subscription Churn</t>
        </is>
      </c>
      <c r="B21" s="10" t="inlineStr">
        <is>
          <t>Monthly</t>
        </is>
      </c>
      <c r="C21" s="10" t="inlineStr">
        <is>
          <t>Pro Add-on monthly churn &gt; 5.0%</t>
        </is>
      </c>
      <c r="D21" s="10" t="inlineStr">
        <is>
          <t>Interview churning accounts; refine custom CRM integrations</t>
        </is>
      </c>
      <c r="E21" s="10" t="inlineStr">
        <is>
          <t>Product Manager</t>
        </is>
      </c>
    </row>
    <row r="22">
      <c r="A22" s="50" t="inlineStr">
        <is>
          <t>8. Gross Margin Degradation Floor</t>
        </is>
      </c>
      <c r="B22" s="51" t="inlineStr">
        <is>
          <t>Monthly</t>
        </is>
      </c>
      <c r="C22" s="51" t="inlineStr">
        <is>
          <t>Gross margin on Cheerio Assist Pro drops below 85.0%</t>
        </is>
      </c>
      <c r="D22" s="51" t="inlineStr">
        <is>
          <t>Review infrastructure allocations and token efficiency</t>
        </is>
      </c>
      <c r="E22" s="51" t="inlineStr">
        <is>
          <t>Product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2026-10-15T05:02:26Z</dcterms:created>
  <dcterms:modified xmlns:dcterms="http://purl.org/dc/terms/" xmlns:xsi="http://www.w3.org/2001/XMLSchema-instance" xsi:type="dcterms:W3CDTF">2026-10-15T05:02:26Z</dcterms:modified>
</cp:coreProperties>
</file>